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62C68A1-F6F2-465F-A78E-272BB59247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2" i="1"/>
  <c r="K2" i="1"/>
  <c r="K5" i="1" l="1"/>
  <c r="K6" i="1"/>
  <c r="K7" i="1"/>
  <c r="K8" i="1"/>
  <c r="K9" i="1"/>
  <c r="K10" i="1"/>
  <c r="K11" i="1"/>
  <c r="K12" i="1"/>
  <c r="K14" i="1"/>
  <c r="K15" i="1"/>
  <c r="K16" i="1"/>
  <c r="K17" i="1"/>
  <c r="K18" i="1"/>
  <c r="K19" i="1"/>
  <c r="K20" i="1"/>
  <c r="K21" i="1"/>
  <c r="K23" i="1"/>
  <c r="K24" i="1"/>
  <c r="K25" i="1"/>
  <c r="K26" i="1"/>
  <c r="K27" i="1"/>
  <c r="K28" i="1"/>
  <c r="K29" i="1"/>
  <c r="K30" i="1"/>
  <c r="K32" i="1"/>
  <c r="K33" i="1"/>
  <c r="K34" i="1"/>
  <c r="K35" i="1"/>
  <c r="K36" i="1"/>
  <c r="K37" i="1"/>
  <c r="K13" i="1"/>
  <c r="K22" i="1"/>
  <c r="K31" i="1"/>
  <c r="K3" i="1"/>
  <c r="K4" i="1"/>
</calcChain>
</file>

<file path=xl/sharedStrings.xml><?xml version="1.0" encoding="utf-8"?>
<sst xmlns="http://schemas.openxmlformats.org/spreadsheetml/2006/main" count="262" uniqueCount="236">
  <si>
    <t>Setor</t>
  </si>
  <si>
    <t>Empresa Listada</t>
  </si>
  <si>
    <t>Código B3</t>
  </si>
  <si>
    <t>Bancário</t>
  </si>
  <si>
    <t>Banco Banrisul</t>
  </si>
  <si>
    <t>Banco do Brasil</t>
  </si>
  <si>
    <t>BBAS3</t>
  </si>
  <si>
    <t>Itaú Unibanco</t>
  </si>
  <si>
    <t>Bradesco</t>
  </si>
  <si>
    <t>Santander Brasil</t>
  </si>
  <si>
    <t>Combustível</t>
  </si>
  <si>
    <t>Raízen</t>
  </si>
  <si>
    <t>RAIZ4</t>
  </si>
  <si>
    <t>Vibra Energia</t>
  </si>
  <si>
    <t>VBBR3</t>
  </si>
  <si>
    <t>Ultrapar</t>
  </si>
  <si>
    <t>UGPA3</t>
  </si>
  <si>
    <t>Energia Elétrica</t>
  </si>
  <si>
    <t>Auren Energia</t>
  </si>
  <si>
    <t>AURE3</t>
  </si>
  <si>
    <t>Taesa</t>
  </si>
  <si>
    <t>Eletrobras</t>
  </si>
  <si>
    <t>Engie Brasil</t>
  </si>
  <si>
    <t>EGIE3</t>
  </si>
  <si>
    <t>CPFL Energia</t>
  </si>
  <si>
    <t>CPFE3</t>
  </si>
  <si>
    <t>Imobiliário</t>
  </si>
  <si>
    <t>JHSF</t>
  </si>
  <si>
    <t>JHSF3</t>
  </si>
  <si>
    <t>Cyrela</t>
  </si>
  <si>
    <t>CYRE3</t>
  </si>
  <si>
    <t>MRV</t>
  </si>
  <si>
    <t>MRVE3</t>
  </si>
  <si>
    <t>Eztec</t>
  </si>
  <si>
    <t>EZTC3</t>
  </si>
  <si>
    <t>Saneamento</t>
  </si>
  <si>
    <t>Sanepar</t>
  </si>
  <si>
    <t>Sabesp</t>
  </si>
  <si>
    <t>SBSP3</t>
  </si>
  <si>
    <t>Copasa</t>
  </si>
  <si>
    <t>CSMG3</t>
  </si>
  <si>
    <t>Seguros</t>
  </si>
  <si>
    <t>BB Seguridade</t>
  </si>
  <si>
    <t>BBSE3</t>
  </si>
  <si>
    <t>Caixa Seguridade</t>
  </si>
  <si>
    <t>CXSE3</t>
  </si>
  <si>
    <t>Porto Seguro</t>
  </si>
  <si>
    <t>PSSA3</t>
  </si>
  <si>
    <t>IRB Brasil RE</t>
  </si>
  <si>
    <t>IRBR3</t>
  </si>
  <si>
    <t>Tecnologia</t>
  </si>
  <si>
    <t>Totvs</t>
  </si>
  <si>
    <t>TOTS3</t>
  </si>
  <si>
    <t>Locaweb</t>
  </si>
  <si>
    <t>LWSA3</t>
  </si>
  <si>
    <t>Positivo</t>
  </si>
  <si>
    <t>POSI3</t>
  </si>
  <si>
    <t>Varejo</t>
  </si>
  <si>
    <t>Magazine Luiza</t>
  </si>
  <si>
    <t>MGLU3</t>
  </si>
  <si>
    <t>Lojas Renner</t>
  </si>
  <si>
    <t>LREN3</t>
  </si>
  <si>
    <t>Via</t>
  </si>
  <si>
    <t>Mineração e Siderurgia</t>
  </si>
  <si>
    <t>Vale</t>
  </si>
  <si>
    <t>VALE3</t>
  </si>
  <si>
    <t>Gerdau</t>
  </si>
  <si>
    <t>GGBR4</t>
  </si>
  <si>
    <t>CSN</t>
  </si>
  <si>
    <t>CSNA3</t>
  </si>
  <si>
    <t>Proteína Animal</t>
  </si>
  <si>
    <t>JBS</t>
  </si>
  <si>
    <t>JBSS3</t>
  </si>
  <si>
    <t>Marfrig</t>
  </si>
  <si>
    <t>MRFG3</t>
  </si>
  <si>
    <t>BRF</t>
  </si>
  <si>
    <t>BRFS3</t>
  </si>
  <si>
    <t>cvm</t>
  </si>
  <si>
    <t>cnpj</t>
  </si>
  <si>
    <t>92.702.067/0001-96</t>
  </si>
  <si>
    <t>00.000.000/0001-91</t>
  </si>
  <si>
    <t>ticker yfinance</t>
  </si>
  <si>
    <t>60.872.504/0001-23</t>
  </si>
  <si>
    <t>cvm yfinance</t>
  </si>
  <si>
    <t>cnpj yfinance</t>
  </si>
  <si>
    <t>ticker_para_empresa</t>
  </si>
  <si>
    <t>60.746.948/0001-12</t>
  </si>
  <si>
    <t>33.453.598/0001-23</t>
  </si>
  <si>
    <t>34.274.233/0001-02</t>
  </si>
  <si>
    <t>33.256.439/0001-39</t>
  </si>
  <si>
    <t>28.594.234/0001-23</t>
  </si>
  <si>
    <t>07.859.971/0001-30</t>
  </si>
  <si>
    <t>02.474.103/0001-19</t>
  </si>
  <si>
    <t>02.429.144/0001-93</t>
  </si>
  <si>
    <t>08.294.224/0001-65</t>
  </si>
  <si>
    <t>73.178.600/0001-18</t>
  </si>
  <si>
    <t>08.343.492/0001-20</t>
  </si>
  <si>
    <t>08.312.229/0001-73</t>
  </si>
  <si>
    <t>76.484.013/0001-45</t>
  </si>
  <si>
    <t>SAPR3</t>
  </si>
  <si>
    <t>43.776.517/0001-80</t>
  </si>
  <si>
    <t>17.281.106/0001-03</t>
  </si>
  <si>
    <t>17.344.597/0001-94</t>
  </si>
  <si>
    <t>22.543.331/0001-00</t>
  </si>
  <si>
    <t>02.149.205/0001-69</t>
  </si>
  <si>
    <t>33.376.989/0001-91</t>
  </si>
  <si>
    <t>53.113.791/0001-22</t>
  </si>
  <si>
    <t>02.351.877/0001-52</t>
  </si>
  <si>
    <t>81.243.735/0001-48</t>
  </si>
  <si>
    <t>47.960.950/0001-21</t>
  </si>
  <si>
    <t>92.754.738/0001-62</t>
  </si>
  <si>
    <t>33.041.260/0652-90</t>
  </si>
  <si>
    <t>BHIA3</t>
  </si>
  <si>
    <t>33.592.510/0001-54</t>
  </si>
  <si>
    <t>33.611.500/0001-19</t>
  </si>
  <si>
    <t>08.902.291/0001-15</t>
  </si>
  <si>
    <t>02.916.265/0001-60</t>
  </si>
  <si>
    <t>03.853.896/0001-40</t>
  </si>
  <si>
    <t>01.838.723/0001-27</t>
  </si>
  <si>
    <t>'BBAS3.SA',</t>
  </si>
  <si>
    <t>'RAIZ4.SA',</t>
  </si>
  <si>
    <t>'VBBR3.SA',</t>
  </si>
  <si>
    <t>'UGPA3.SA',</t>
  </si>
  <si>
    <t>'AURE3.SA',</t>
  </si>
  <si>
    <t>'EGIE3.SA',</t>
  </si>
  <si>
    <t>'CPFE3.SA',</t>
  </si>
  <si>
    <t>'JHSF3.SA',</t>
  </si>
  <si>
    <t>'CYRE3.SA',</t>
  </si>
  <si>
    <t>'MRVE3.SA',</t>
  </si>
  <si>
    <t>'EZTC3.SA',</t>
  </si>
  <si>
    <t>'SAPR3.SA',</t>
  </si>
  <si>
    <t>'SBSP3.SA',</t>
  </si>
  <si>
    <t>'CSMG3.SA',</t>
  </si>
  <si>
    <t>'BBSE3.SA',</t>
  </si>
  <si>
    <t>'CXSE3.SA',</t>
  </si>
  <si>
    <t>'PSSA3.SA',</t>
  </si>
  <si>
    <t>'IRBR3.SA',</t>
  </si>
  <si>
    <t>'TOTS3.SA',</t>
  </si>
  <si>
    <t>'LWSA3.SA',</t>
  </si>
  <si>
    <t>'POSI3.SA',</t>
  </si>
  <si>
    <t>'MGLU3.SA',</t>
  </si>
  <si>
    <t>'LREN3.SA',</t>
  </si>
  <si>
    <t>'BHIA3.SA',</t>
  </si>
  <si>
    <t>'VALE3.SA',</t>
  </si>
  <si>
    <t>'GGBR4.SA',</t>
  </si>
  <si>
    <t>'CSNA3.SA',</t>
  </si>
  <si>
    <t>'JBSS3.SA',</t>
  </si>
  <si>
    <t>'MRFG3.SA',</t>
  </si>
  <si>
    <t>'BRFS3.SA',</t>
  </si>
  <si>
    <t>'92.702.067/0001-96',</t>
  </si>
  <si>
    <t>'00.000.000/0001-91',</t>
  </si>
  <si>
    <t>'60.872.504/0001-23',</t>
  </si>
  <si>
    <t>'60.746.948/0001-12',</t>
  </si>
  <si>
    <t>'33.453.598/0001-23',</t>
  </si>
  <si>
    <t>'34.274.233/0001-02',</t>
  </si>
  <si>
    <t>'33.256.439/0001-39',</t>
  </si>
  <si>
    <t>'28.594.234/0001-23',</t>
  </si>
  <si>
    <t>'07.859.971/0001-30',</t>
  </si>
  <si>
    <t>'02.474.103/0001-19',</t>
  </si>
  <si>
    <t>'02.429.144/0001-93',</t>
  </si>
  <si>
    <t>'08.294.224/0001-65',</t>
  </si>
  <si>
    <t>'73.178.600/0001-18',</t>
  </si>
  <si>
    <t>'08.343.492/0001-20',</t>
  </si>
  <si>
    <t>'08.312.229/0001-73',</t>
  </si>
  <si>
    <t>'76.484.013/0001-45',</t>
  </si>
  <si>
    <t>'43.776.517/0001-80',</t>
  </si>
  <si>
    <t>'17.281.106/0001-03',</t>
  </si>
  <si>
    <t>'17.344.597/0001-94',</t>
  </si>
  <si>
    <t>'22.543.331/0001-00',</t>
  </si>
  <si>
    <t>'02.149.205/0001-69',</t>
  </si>
  <si>
    <t>'33.376.989/0001-91',</t>
  </si>
  <si>
    <t>'53.113.791/0001-22',</t>
  </si>
  <si>
    <t>'02.351.877/0001-52',</t>
  </si>
  <si>
    <t>'81.243.735/0001-48',</t>
  </si>
  <si>
    <t>'47.960.950/0001-21',</t>
  </si>
  <si>
    <t>'92.754.738/0001-62',</t>
  </si>
  <si>
    <t>'33.041.260/0652-90',</t>
  </si>
  <si>
    <t>'33.592.510/0001-54',</t>
  </si>
  <si>
    <t>'33.611.500/0001-19',</t>
  </si>
  <si>
    <t>'08.902.291/0001-15',</t>
  </si>
  <si>
    <t>'02.916.265/0001-60',</t>
  </si>
  <si>
    <t>'03.853.896/0001-40',</t>
  </si>
  <si>
    <t>'01.838.723/0001-27',</t>
  </si>
  <si>
    <t>DENOM_CIA</t>
  </si>
  <si>
    <t>BCO ESTADO DO RIO GRANDE DO SUL S.A.</t>
  </si>
  <si>
    <t>BRSR3</t>
  </si>
  <si>
    <t>BRSR3.SA',</t>
  </si>
  <si>
    <t>ITUB3</t>
  </si>
  <si>
    <t>ITUB3.SA',</t>
  </si>
  <si>
    <t>BBDC3</t>
  </si>
  <si>
    <t>BBDC3.SA',</t>
  </si>
  <si>
    <t>SANB3</t>
  </si>
  <si>
    <t>SANB3.SA',</t>
  </si>
  <si>
    <t>90.400.888/0001-42</t>
  </si>
  <si>
    <t>90.400.888/0001-42',</t>
  </si>
  <si>
    <t>TAEE3</t>
  </si>
  <si>
    <t>TAEE3.SA',</t>
  </si>
  <si>
    <t>AXIA3</t>
  </si>
  <si>
    <t>AXIA3.SA',</t>
  </si>
  <si>
    <t>00.001.180/0001-26</t>
  </si>
  <si>
    <t>00.001.180/0001-26',</t>
  </si>
  <si>
    <t>BCO BRASIL S.A.</t>
  </si>
  <si>
    <t>ITAU UNIBANCO HOLDING S.A.</t>
  </si>
  <si>
    <t>BCO BRADESCO S.A.</t>
  </si>
  <si>
    <t>BCO SANTANDER (BRASIL) S.A.</t>
  </si>
  <si>
    <t>RAÍZEN S.A.</t>
  </si>
  <si>
    <t>VIBRA ENERGIA S/A</t>
  </si>
  <si>
    <t>ULTRAPAR PARTICIPACOES S.A.</t>
  </si>
  <si>
    <t>AUREN ENERGIA S.A.</t>
  </si>
  <si>
    <t>TRANSMISSORA ALIANÇA DE ENERGIA ELÉTRICA S.A.</t>
  </si>
  <si>
    <t>CENTRAIS ELET BRAS S.A. - ELETROBRAS</t>
  </si>
  <si>
    <t>ENGIE BRASIL ENERGIA S.A.</t>
  </si>
  <si>
    <t>CPFL ENERGIA S.A.</t>
  </si>
  <si>
    <t>JHSF PARTICIPACOES S.A.</t>
  </si>
  <si>
    <t>CYRELA BRAZIL REALTY S.A.EMPREEND E PART</t>
  </si>
  <si>
    <t>MRV ENGENHARIA E PARTICIPACOES S.A.</t>
  </si>
  <si>
    <t>EZ TEC EMPREEND. E PARTICIPACOES S.A.</t>
  </si>
  <si>
    <t>CIA SANEAMENTO BASICO EST SAO PAULO</t>
  </si>
  <si>
    <t>CIA SANEAMENTO DE MINAS GERAIS-COPASA MG</t>
  </si>
  <si>
    <t>BB SEGURIDADE PARTICIPAÇÕES S.A.</t>
  </si>
  <si>
    <t>CAIXA SEGURIDADE PARTICIPAÇÕES S.A.</t>
  </si>
  <si>
    <t>PORTO SEGURO S.A.</t>
  </si>
  <si>
    <t>IRB - BRASIL RESSEGUROS S.A.</t>
  </si>
  <si>
    <t>TOTVS S.A.</t>
  </si>
  <si>
    <t>LWSA S/A</t>
  </si>
  <si>
    <t>POSITIVO TECNOLOGIA S.A.</t>
  </si>
  <si>
    <t>MAGAZINE LUIZA S.A.</t>
  </si>
  <si>
    <t>LOJAS RENNER S.A.</t>
  </si>
  <si>
    <t>GRUPO CASAS BAHIA S.A.</t>
  </si>
  <si>
    <t>VALE S.A.</t>
  </si>
  <si>
    <t>GERDAU S.A.</t>
  </si>
  <si>
    <t>CSN MINERAÇÃO S.A.</t>
  </si>
  <si>
    <t>JBS S.A.</t>
  </si>
  <si>
    <t>MARFRIG GLOBAL FOODS S.A.</t>
  </si>
  <si>
    <t>BRF S.A.</t>
  </si>
  <si>
    <t>CIA. DE SANEAMENTO DO PARANÁ - SANEPAR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</si>
</sst>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  <xf numFmtId="1" fontId="0" fillId="0" borderId="0" xfId="0" quotePrefix="1" applyNumberFormat="1"/>
    <xf numFmtId="0" fontId="0" fillId="0" borderId="0" xfId="0" quotePrefix="1"/>
    <xf numFmtId="1" fontId="1" fillId="2" borderId="0" xfId="0" applyNumberFormat="1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topLeftCell="D1" workbookViewId="0">
      <selection activeCell="E2" sqref="E2"/>
    </sheetView>
  </sheetViews>
  <sheetFormatPr defaultRowHeight="15.75" x14ac:dyDescent="0.25"/>
  <cols>
    <col min="1" max="1" width="19.875" bestFit="1" customWidth="1"/>
    <col min="2" max="2" width="18.75" bestFit="1" customWidth="1"/>
    <col min="3" max="3" width="44.625" bestFit="1" customWidth="1"/>
    <col min="4" max="4" width="13.375" bestFit="1" customWidth="1"/>
    <col min="5" max="5" width="13.625" bestFit="1" customWidth="1"/>
    <col min="6" max="6" width="5.875" style="2" bestFit="1" customWidth="1"/>
    <col min="7" max="7" width="6.875" style="2" bestFit="1" customWidth="1"/>
    <col min="8" max="8" width="12.125" bestFit="1" customWidth="1"/>
    <col min="9" max="9" width="17.5" bestFit="1" customWidth="1"/>
    <col min="10" max="10" width="19" bestFit="1" customWidth="1"/>
    <col min="11" max="11" width="56.125" bestFit="1" customWidth="1"/>
  </cols>
  <sheetData>
    <row r="1" spans="1:11" x14ac:dyDescent="0.25">
      <c r="A1" s="1" t="s">
        <v>0</v>
      </c>
      <c r="B1" s="1" t="s">
        <v>1</v>
      </c>
      <c r="C1" s="1" t="s">
        <v>183</v>
      </c>
      <c r="D1" s="1" t="s">
        <v>2</v>
      </c>
      <c r="E1" s="1" t="s">
        <v>81</v>
      </c>
      <c r="F1" s="5" t="s">
        <v>77</v>
      </c>
      <c r="G1" s="5"/>
      <c r="H1" s="1" t="s">
        <v>83</v>
      </c>
      <c r="I1" s="1" t="s">
        <v>78</v>
      </c>
      <c r="J1" s="1" t="s">
        <v>84</v>
      </c>
      <c r="K1" s="1" t="s">
        <v>85</v>
      </c>
    </row>
    <row r="2" spans="1:11" x14ac:dyDescent="0.25">
      <c r="A2" t="s">
        <v>3</v>
      </c>
      <c r="B2" t="s">
        <v>4</v>
      </c>
      <c r="C2" t="s">
        <v>184</v>
      </c>
      <c r="D2" t="s">
        <v>185</v>
      </c>
      <c r="E2" s="4" t="s">
        <v>186</v>
      </c>
      <c r="F2" s="3">
        <v>1210</v>
      </c>
      <c r="G2" s="3" t="str">
        <f>TEXT(F2,"000000")</f>
        <v>001210</v>
      </c>
      <c r="H2" s="4" t="str">
        <f>_xlfn.CONCAT("'",G2,"',")</f>
        <v>'001210',</v>
      </c>
      <c r="I2" t="s">
        <v>79</v>
      </c>
      <c r="J2" t="s">
        <v>149</v>
      </c>
      <c r="K2" t="str">
        <f>_xlfn.CONCAT("'",D2,".SA","': ","'",C2,"',")</f>
        <v>'BRSR3.SA': 'BCO ESTADO DO RIO GRANDE DO SUL S.A.',</v>
      </c>
    </row>
    <row r="3" spans="1:11" x14ac:dyDescent="0.25">
      <c r="A3" t="s">
        <v>3</v>
      </c>
      <c r="B3" t="s">
        <v>5</v>
      </c>
      <c r="C3" t="s">
        <v>201</v>
      </c>
      <c r="D3" t="s">
        <v>6</v>
      </c>
      <c r="E3" t="s">
        <v>119</v>
      </c>
      <c r="F3" s="3">
        <v>1023</v>
      </c>
      <c r="G3" s="3" t="str">
        <f t="shared" ref="G3:G37" si="0">TEXT(F3,"000000")</f>
        <v>001023</v>
      </c>
      <c r="H3" s="4" t="str">
        <f t="shared" ref="H3:H37" si="1">_xlfn.CONCAT("'",G3,"',")</f>
        <v>'001023',</v>
      </c>
      <c r="I3" t="s">
        <v>80</v>
      </c>
      <c r="J3" t="s">
        <v>150</v>
      </c>
      <c r="K3" t="str">
        <f t="shared" ref="K3:K37" si="2">_xlfn.CONCAT("'",D3,".SA","': ","'",C3,"',")</f>
        <v>'BBAS3.SA': 'BCO BRASIL S.A.',</v>
      </c>
    </row>
    <row r="4" spans="1:11" x14ac:dyDescent="0.25">
      <c r="A4" t="s">
        <v>3</v>
      </c>
      <c r="B4" t="s">
        <v>7</v>
      </c>
      <c r="C4" t="s">
        <v>202</v>
      </c>
      <c r="D4" t="s">
        <v>187</v>
      </c>
      <c r="E4" s="4" t="s">
        <v>188</v>
      </c>
      <c r="F4" s="3">
        <v>19348</v>
      </c>
      <c r="G4" s="3" t="str">
        <f t="shared" si="0"/>
        <v>019348</v>
      </c>
      <c r="H4" s="4" t="str">
        <f t="shared" si="1"/>
        <v>'019348',</v>
      </c>
      <c r="I4" t="s">
        <v>82</v>
      </c>
      <c r="J4" t="s">
        <v>151</v>
      </c>
      <c r="K4" t="str">
        <f t="shared" si="2"/>
        <v>'ITUB3.SA': 'ITAU UNIBANCO HOLDING S.A.',</v>
      </c>
    </row>
    <row r="5" spans="1:11" x14ac:dyDescent="0.25">
      <c r="A5" t="s">
        <v>3</v>
      </c>
      <c r="B5" t="s">
        <v>8</v>
      </c>
      <c r="C5" t="s">
        <v>203</v>
      </c>
      <c r="D5" t="s">
        <v>189</v>
      </c>
      <c r="E5" s="4" t="s">
        <v>190</v>
      </c>
      <c r="F5" s="3">
        <v>906</v>
      </c>
      <c r="G5" s="3" t="str">
        <f t="shared" si="0"/>
        <v>000906</v>
      </c>
      <c r="H5" s="4" t="str">
        <f t="shared" si="1"/>
        <v>'000906',</v>
      </c>
      <c r="I5" t="s">
        <v>86</v>
      </c>
      <c r="J5" t="s">
        <v>152</v>
      </c>
      <c r="K5" t="str">
        <f t="shared" si="2"/>
        <v>'BBDC3.SA': 'BCO BRADESCO S.A.',</v>
      </c>
    </row>
    <row r="6" spans="1:11" x14ac:dyDescent="0.25">
      <c r="A6" t="s">
        <v>3</v>
      </c>
      <c r="B6" t="s">
        <v>9</v>
      </c>
      <c r="C6" t="s">
        <v>204</v>
      </c>
      <c r="D6" t="s">
        <v>191</v>
      </c>
      <c r="E6" s="4" t="s">
        <v>192</v>
      </c>
      <c r="F6" s="3">
        <v>20532</v>
      </c>
      <c r="G6" s="3" t="str">
        <f t="shared" si="0"/>
        <v>020532</v>
      </c>
      <c r="H6" s="4" t="str">
        <f t="shared" si="1"/>
        <v>'020532',</v>
      </c>
      <c r="I6" s="6" t="s">
        <v>193</v>
      </c>
      <c r="J6" s="4" t="s">
        <v>194</v>
      </c>
      <c r="K6" t="str">
        <f t="shared" si="2"/>
        <v>'SANB3.SA': 'BCO SANTANDER (BRASIL) S.A.',</v>
      </c>
    </row>
    <row r="7" spans="1:11" x14ac:dyDescent="0.25">
      <c r="A7" t="s">
        <v>10</v>
      </c>
      <c r="B7" t="s">
        <v>11</v>
      </c>
      <c r="C7" t="s">
        <v>205</v>
      </c>
      <c r="D7" t="s">
        <v>12</v>
      </c>
      <c r="E7" t="s">
        <v>120</v>
      </c>
      <c r="F7" s="3">
        <v>25917</v>
      </c>
      <c r="G7" s="3" t="str">
        <f t="shared" si="0"/>
        <v>025917</v>
      </c>
      <c r="H7" s="4" t="str">
        <f t="shared" si="1"/>
        <v>'025917',</v>
      </c>
      <c r="I7" t="s">
        <v>87</v>
      </c>
      <c r="J7" t="s">
        <v>153</v>
      </c>
      <c r="K7" t="str">
        <f t="shared" si="2"/>
        <v>'RAIZ4.SA': 'RAÍZEN S.A.',</v>
      </c>
    </row>
    <row r="8" spans="1:11" x14ac:dyDescent="0.25">
      <c r="A8" t="s">
        <v>10</v>
      </c>
      <c r="B8" t="s">
        <v>13</v>
      </c>
      <c r="C8" t="s">
        <v>206</v>
      </c>
      <c r="D8" t="s">
        <v>14</v>
      </c>
      <c r="E8" t="s">
        <v>121</v>
      </c>
      <c r="F8" s="3">
        <v>24295</v>
      </c>
      <c r="G8" s="3" t="str">
        <f t="shared" si="0"/>
        <v>024295</v>
      </c>
      <c r="H8" s="4" t="str">
        <f t="shared" si="1"/>
        <v>'024295',</v>
      </c>
      <c r="I8" t="s">
        <v>88</v>
      </c>
      <c r="J8" t="s">
        <v>154</v>
      </c>
      <c r="K8" t="str">
        <f t="shared" si="2"/>
        <v>'VBBR3.SA': 'VIBRA ENERGIA S/A',</v>
      </c>
    </row>
    <row r="9" spans="1:11" x14ac:dyDescent="0.25">
      <c r="A9" t="s">
        <v>10</v>
      </c>
      <c r="B9" t="s">
        <v>15</v>
      </c>
      <c r="C9" t="s">
        <v>207</v>
      </c>
      <c r="D9" t="s">
        <v>16</v>
      </c>
      <c r="E9" t="s">
        <v>122</v>
      </c>
      <c r="F9" s="3">
        <v>18465</v>
      </c>
      <c r="G9" s="3" t="str">
        <f t="shared" si="0"/>
        <v>018465</v>
      </c>
      <c r="H9" s="4" t="str">
        <f t="shared" si="1"/>
        <v>'018465',</v>
      </c>
      <c r="I9" t="s">
        <v>89</v>
      </c>
      <c r="J9" t="s">
        <v>155</v>
      </c>
      <c r="K9" t="str">
        <f t="shared" si="2"/>
        <v>'UGPA3.SA': 'ULTRAPAR PARTICIPACOES S.A.',</v>
      </c>
    </row>
    <row r="10" spans="1:11" x14ac:dyDescent="0.25">
      <c r="A10" t="s">
        <v>17</v>
      </c>
      <c r="B10" t="s">
        <v>18</v>
      </c>
      <c r="C10" t="s">
        <v>208</v>
      </c>
      <c r="D10" t="s">
        <v>19</v>
      </c>
      <c r="E10" t="s">
        <v>123</v>
      </c>
      <c r="F10" s="3">
        <v>26620</v>
      </c>
      <c r="G10" s="3" t="str">
        <f t="shared" si="0"/>
        <v>026620</v>
      </c>
      <c r="H10" s="4" t="str">
        <f t="shared" si="1"/>
        <v>'026620',</v>
      </c>
      <c r="I10" t="s">
        <v>90</v>
      </c>
      <c r="J10" t="s">
        <v>156</v>
      </c>
      <c r="K10" t="str">
        <f t="shared" si="2"/>
        <v>'AURE3.SA': 'AUREN ENERGIA S.A.',</v>
      </c>
    </row>
    <row r="11" spans="1:11" x14ac:dyDescent="0.25">
      <c r="A11" t="s">
        <v>17</v>
      </c>
      <c r="B11" t="s">
        <v>20</v>
      </c>
      <c r="C11" t="s">
        <v>209</v>
      </c>
      <c r="D11" t="s">
        <v>195</v>
      </c>
      <c r="E11" s="4" t="s">
        <v>196</v>
      </c>
      <c r="F11" s="3">
        <v>20257</v>
      </c>
      <c r="G11" s="3" t="str">
        <f t="shared" si="0"/>
        <v>020257</v>
      </c>
      <c r="H11" s="4" t="str">
        <f t="shared" si="1"/>
        <v>'020257',</v>
      </c>
      <c r="I11" t="s">
        <v>91</v>
      </c>
      <c r="J11" t="s">
        <v>157</v>
      </c>
      <c r="K11" t="str">
        <f t="shared" si="2"/>
        <v>'TAEE3.SA': 'TRANSMISSORA ALIANÇA DE ENERGIA ELÉTRICA S.A.',</v>
      </c>
    </row>
    <row r="12" spans="1:11" x14ac:dyDescent="0.25">
      <c r="A12" t="s">
        <v>17</v>
      </c>
      <c r="B12" t="s">
        <v>21</v>
      </c>
      <c r="C12" t="s">
        <v>210</v>
      </c>
      <c r="D12" t="s">
        <v>197</v>
      </c>
      <c r="E12" s="4" t="s">
        <v>198</v>
      </c>
      <c r="F12" s="3">
        <v>2437</v>
      </c>
      <c r="G12" s="3" t="str">
        <f t="shared" si="0"/>
        <v>002437</v>
      </c>
      <c r="H12" s="4" t="str">
        <f t="shared" si="1"/>
        <v>'002437',</v>
      </c>
      <c r="I12" s="6" t="s">
        <v>199</v>
      </c>
      <c r="J12" s="4" t="s">
        <v>200</v>
      </c>
      <c r="K12" t="str">
        <f t="shared" si="2"/>
        <v>'AXIA3.SA': 'CENTRAIS ELET BRAS S.A. - ELETROBRAS',</v>
      </c>
    </row>
    <row r="13" spans="1:11" x14ac:dyDescent="0.25">
      <c r="A13" t="s">
        <v>17</v>
      </c>
      <c r="B13" t="s">
        <v>22</v>
      </c>
      <c r="C13" t="s">
        <v>211</v>
      </c>
      <c r="D13" t="s">
        <v>23</v>
      </c>
      <c r="E13" t="s">
        <v>124</v>
      </c>
      <c r="F13" s="3">
        <v>17329</v>
      </c>
      <c r="G13" s="3" t="str">
        <f t="shared" si="0"/>
        <v>017329</v>
      </c>
      <c r="H13" s="4" t="str">
        <f t="shared" si="1"/>
        <v>'017329',</v>
      </c>
      <c r="I13" t="s">
        <v>92</v>
      </c>
      <c r="J13" t="s">
        <v>158</v>
      </c>
      <c r="K13" t="str">
        <f t="shared" si="2"/>
        <v>'EGIE3.SA': 'ENGIE BRASIL ENERGIA S.A.',</v>
      </c>
    </row>
    <row r="14" spans="1:11" x14ac:dyDescent="0.25">
      <c r="A14" t="s">
        <v>17</v>
      </c>
      <c r="B14" t="s">
        <v>24</v>
      </c>
      <c r="C14" t="s">
        <v>212</v>
      </c>
      <c r="D14" t="s">
        <v>25</v>
      </c>
      <c r="E14" t="s">
        <v>125</v>
      </c>
      <c r="F14" s="3">
        <v>18660</v>
      </c>
      <c r="G14" s="3" t="str">
        <f t="shared" si="0"/>
        <v>018660</v>
      </c>
      <c r="H14" s="4" t="str">
        <f t="shared" si="1"/>
        <v>'018660',</v>
      </c>
      <c r="I14" t="s">
        <v>93</v>
      </c>
      <c r="J14" t="s">
        <v>159</v>
      </c>
      <c r="K14" t="str">
        <f t="shared" si="2"/>
        <v>'CPFE3.SA': 'CPFL ENERGIA S.A.',</v>
      </c>
    </row>
    <row r="15" spans="1:11" x14ac:dyDescent="0.25">
      <c r="A15" t="s">
        <v>26</v>
      </c>
      <c r="B15" t="s">
        <v>27</v>
      </c>
      <c r="C15" t="s">
        <v>213</v>
      </c>
      <c r="D15" t="s">
        <v>28</v>
      </c>
      <c r="E15" t="s">
        <v>126</v>
      </c>
      <c r="F15" s="3">
        <v>20605</v>
      </c>
      <c r="G15" s="3" t="str">
        <f t="shared" si="0"/>
        <v>020605</v>
      </c>
      <c r="H15" s="4" t="str">
        <f t="shared" si="1"/>
        <v>'020605',</v>
      </c>
      <c r="I15" t="s">
        <v>94</v>
      </c>
      <c r="J15" t="s">
        <v>160</v>
      </c>
      <c r="K15" t="str">
        <f t="shared" si="2"/>
        <v>'JHSF3.SA': 'JHSF PARTICIPACOES S.A.',</v>
      </c>
    </row>
    <row r="16" spans="1:11" x14ac:dyDescent="0.25">
      <c r="A16" t="s">
        <v>26</v>
      </c>
      <c r="B16" t="s">
        <v>29</v>
      </c>
      <c r="C16" t="s">
        <v>214</v>
      </c>
      <c r="D16" t="s">
        <v>30</v>
      </c>
      <c r="E16" t="s">
        <v>127</v>
      </c>
      <c r="F16" s="3">
        <v>14460</v>
      </c>
      <c r="G16" s="3" t="str">
        <f t="shared" si="0"/>
        <v>014460</v>
      </c>
      <c r="H16" s="4" t="str">
        <f t="shared" si="1"/>
        <v>'014460',</v>
      </c>
      <c r="I16" t="s">
        <v>95</v>
      </c>
      <c r="J16" t="s">
        <v>161</v>
      </c>
      <c r="K16" t="str">
        <f t="shared" si="2"/>
        <v>'CYRE3.SA': 'CYRELA BRAZIL REALTY S.A.EMPREEND E PART',</v>
      </c>
    </row>
    <row r="17" spans="1:11" x14ac:dyDescent="0.25">
      <c r="A17" t="s">
        <v>26</v>
      </c>
      <c r="B17" t="s">
        <v>31</v>
      </c>
      <c r="C17" t="s">
        <v>215</v>
      </c>
      <c r="D17" t="s">
        <v>32</v>
      </c>
      <c r="E17" t="s">
        <v>128</v>
      </c>
      <c r="F17" s="3">
        <v>20915</v>
      </c>
      <c r="G17" s="3" t="str">
        <f t="shared" si="0"/>
        <v>020915</v>
      </c>
      <c r="H17" s="4" t="str">
        <f t="shared" si="1"/>
        <v>'020915',</v>
      </c>
      <c r="I17" t="s">
        <v>96</v>
      </c>
      <c r="J17" t="s">
        <v>162</v>
      </c>
      <c r="K17" t="str">
        <f t="shared" si="2"/>
        <v>'MRVE3.SA': 'MRV ENGENHARIA E PARTICIPACOES S.A.',</v>
      </c>
    </row>
    <row r="18" spans="1:11" x14ac:dyDescent="0.25">
      <c r="A18" t="s">
        <v>26</v>
      </c>
      <c r="B18" t="s">
        <v>33</v>
      </c>
      <c r="C18" t="s">
        <v>216</v>
      </c>
      <c r="D18" t="s">
        <v>34</v>
      </c>
      <c r="E18" t="s">
        <v>129</v>
      </c>
      <c r="F18" s="3">
        <v>20770</v>
      </c>
      <c r="G18" s="3" t="str">
        <f t="shared" si="0"/>
        <v>020770</v>
      </c>
      <c r="H18" s="4" t="str">
        <f t="shared" si="1"/>
        <v>'020770',</v>
      </c>
      <c r="I18" t="s">
        <v>97</v>
      </c>
      <c r="J18" t="s">
        <v>163</v>
      </c>
      <c r="K18" t="str">
        <f t="shared" si="2"/>
        <v>'EZTC3.SA': 'EZ TEC EMPREEND. E PARTICIPACOES S.A.',</v>
      </c>
    </row>
    <row r="19" spans="1:11" x14ac:dyDescent="0.25">
      <c r="A19" t="s">
        <v>35</v>
      </c>
      <c r="B19" t="s">
        <v>36</v>
      </c>
      <c r="C19" t="s">
        <v>235</v>
      </c>
      <c r="D19" t="s">
        <v>99</v>
      </c>
      <c r="E19" t="s">
        <v>130</v>
      </c>
      <c r="F19" s="3">
        <v>18627</v>
      </c>
      <c r="G19" s="3" t="str">
        <f t="shared" si="0"/>
        <v>018627</v>
      </c>
      <c r="H19" s="4" t="str">
        <f t="shared" si="1"/>
        <v>'018627',</v>
      </c>
      <c r="I19" t="s">
        <v>98</v>
      </c>
      <c r="J19" t="s">
        <v>164</v>
      </c>
      <c r="K19" t="str">
        <f t="shared" si="2"/>
        <v>'SAPR3.SA': 'CIA. DE SANEAMENTO DO PARANÁ - SANEPAR',</v>
      </c>
    </row>
    <row r="20" spans="1:11" x14ac:dyDescent="0.25">
      <c r="A20" t="s">
        <v>35</v>
      </c>
      <c r="B20" t="s">
        <v>37</v>
      </c>
      <c r="C20" t="s">
        <v>217</v>
      </c>
      <c r="D20" t="s">
        <v>38</v>
      </c>
      <c r="E20" t="s">
        <v>131</v>
      </c>
      <c r="F20" s="3">
        <v>14443</v>
      </c>
      <c r="G20" s="3" t="str">
        <f t="shared" si="0"/>
        <v>014443</v>
      </c>
      <c r="H20" s="4" t="str">
        <f t="shared" si="1"/>
        <v>'014443',</v>
      </c>
      <c r="I20" s="6" t="s">
        <v>100</v>
      </c>
      <c r="J20" t="s">
        <v>165</v>
      </c>
      <c r="K20" t="str">
        <f t="shared" si="2"/>
        <v>'SBSP3.SA': 'CIA SANEAMENTO BASICO EST SAO PAULO',</v>
      </c>
    </row>
    <row r="21" spans="1:11" x14ac:dyDescent="0.25">
      <c r="A21" t="s">
        <v>35</v>
      </c>
      <c r="B21" t="s">
        <v>39</v>
      </c>
      <c r="C21" t="s">
        <v>218</v>
      </c>
      <c r="D21" t="s">
        <v>40</v>
      </c>
      <c r="E21" t="s">
        <v>132</v>
      </c>
      <c r="F21" s="3">
        <v>19445</v>
      </c>
      <c r="G21" s="3" t="str">
        <f t="shared" si="0"/>
        <v>019445</v>
      </c>
      <c r="H21" s="4" t="str">
        <f t="shared" si="1"/>
        <v>'019445',</v>
      </c>
      <c r="I21" s="6" t="s">
        <v>101</v>
      </c>
      <c r="J21" t="s">
        <v>166</v>
      </c>
      <c r="K21" t="str">
        <f t="shared" si="2"/>
        <v>'CSMG3.SA': 'CIA SANEAMENTO DE MINAS GERAIS-COPASA MG',</v>
      </c>
    </row>
    <row r="22" spans="1:11" x14ac:dyDescent="0.25">
      <c r="A22" t="s">
        <v>41</v>
      </c>
      <c r="B22" t="s">
        <v>42</v>
      </c>
      <c r="C22" t="s">
        <v>219</v>
      </c>
      <c r="D22" t="s">
        <v>43</v>
      </c>
      <c r="E22" t="s">
        <v>133</v>
      </c>
      <c r="F22" s="3">
        <v>23159</v>
      </c>
      <c r="G22" s="3" t="str">
        <f t="shared" si="0"/>
        <v>023159</v>
      </c>
      <c r="H22" s="4" t="str">
        <f t="shared" si="1"/>
        <v>'023159',</v>
      </c>
      <c r="I22" t="s">
        <v>102</v>
      </c>
      <c r="J22" t="s">
        <v>167</v>
      </c>
      <c r="K22" t="str">
        <f t="shared" si="2"/>
        <v>'BBSE3.SA': 'BB SEGURIDADE PARTICIPAÇÕES S.A.',</v>
      </c>
    </row>
    <row r="23" spans="1:11" x14ac:dyDescent="0.25">
      <c r="A23" t="s">
        <v>41</v>
      </c>
      <c r="B23" t="s">
        <v>44</v>
      </c>
      <c r="C23" t="s">
        <v>220</v>
      </c>
      <c r="D23" t="s">
        <v>45</v>
      </c>
      <c r="E23" t="s">
        <v>134</v>
      </c>
      <c r="F23" s="3">
        <v>23795</v>
      </c>
      <c r="G23" s="3" t="str">
        <f t="shared" si="0"/>
        <v>023795</v>
      </c>
      <c r="H23" s="4" t="str">
        <f t="shared" si="1"/>
        <v>'023795',</v>
      </c>
      <c r="I23" t="s">
        <v>103</v>
      </c>
      <c r="J23" t="s">
        <v>168</v>
      </c>
      <c r="K23" t="str">
        <f t="shared" si="2"/>
        <v>'CXSE3.SA': 'CAIXA SEGURIDADE PARTICIPAÇÕES S.A.',</v>
      </c>
    </row>
    <row r="24" spans="1:11" x14ac:dyDescent="0.25">
      <c r="A24" t="s">
        <v>41</v>
      </c>
      <c r="B24" t="s">
        <v>46</v>
      </c>
      <c r="C24" t="s">
        <v>221</v>
      </c>
      <c r="D24" t="s">
        <v>47</v>
      </c>
      <c r="E24" t="s">
        <v>135</v>
      </c>
      <c r="F24" s="3">
        <v>16659</v>
      </c>
      <c r="G24" s="3" t="str">
        <f t="shared" si="0"/>
        <v>016659</v>
      </c>
      <c r="H24" s="4" t="str">
        <f t="shared" si="1"/>
        <v>'016659',</v>
      </c>
      <c r="I24" t="s">
        <v>104</v>
      </c>
      <c r="J24" t="s">
        <v>169</v>
      </c>
      <c r="K24" t="str">
        <f t="shared" si="2"/>
        <v>'PSSA3.SA': 'PORTO SEGURO S.A.',</v>
      </c>
    </row>
    <row r="25" spans="1:11" x14ac:dyDescent="0.25">
      <c r="A25" t="s">
        <v>41</v>
      </c>
      <c r="B25" t="s">
        <v>48</v>
      </c>
      <c r="C25" t="s">
        <v>222</v>
      </c>
      <c r="D25" t="s">
        <v>49</v>
      </c>
      <c r="E25" t="s">
        <v>136</v>
      </c>
      <c r="F25" s="3">
        <v>24180</v>
      </c>
      <c r="G25" s="3" t="str">
        <f t="shared" si="0"/>
        <v>024180</v>
      </c>
      <c r="H25" s="4" t="str">
        <f t="shared" si="1"/>
        <v>'024180',</v>
      </c>
      <c r="I25" t="s">
        <v>105</v>
      </c>
      <c r="J25" t="s">
        <v>170</v>
      </c>
      <c r="K25" t="str">
        <f t="shared" si="2"/>
        <v>'IRBR3.SA': 'IRB - BRASIL RESSEGUROS S.A.',</v>
      </c>
    </row>
    <row r="26" spans="1:11" x14ac:dyDescent="0.25">
      <c r="A26" t="s">
        <v>50</v>
      </c>
      <c r="B26" t="s">
        <v>51</v>
      </c>
      <c r="C26" t="s">
        <v>223</v>
      </c>
      <c r="D26" t="s">
        <v>52</v>
      </c>
      <c r="E26" t="s">
        <v>137</v>
      </c>
      <c r="F26" s="3">
        <v>19992</v>
      </c>
      <c r="G26" s="3" t="str">
        <f t="shared" si="0"/>
        <v>019992</v>
      </c>
      <c r="H26" s="4" t="str">
        <f t="shared" si="1"/>
        <v>'019992',</v>
      </c>
      <c r="I26" t="s">
        <v>106</v>
      </c>
      <c r="J26" t="s">
        <v>171</v>
      </c>
      <c r="K26" t="str">
        <f t="shared" si="2"/>
        <v>'TOTS3.SA': 'TOTVS S.A.',</v>
      </c>
    </row>
    <row r="27" spans="1:11" x14ac:dyDescent="0.25">
      <c r="A27" t="s">
        <v>50</v>
      </c>
      <c r="B27" t="s">
        <v>53</v>
      </c>
      <c r="C27" t="s">
        <v>224</v>
      </c>
      <c r="D27" t="s">
        <v>54</v>
      </c>
      <c r="E27" t="s">
        <v>138</v>
      </c>
      <c r="F27" s="3">
        <v>24910</v>
      </c>
      <c r="G27" s="3" t="str">
        <f t="shared" si="0"/>
        <v>024910</v>
      </c>
      <c r="H27" s="4" t="str">
        <f t="shared" si="1"/>
        <v>'024910',</v>
      </c>
      <c r="I27" s="6" t="s">
        <v>107</v>
      </c>
      <c r="J27" t="s">
        <v>172</v>
      </c>
      <c r="K27" t="str">
        <f t="shared" si="2"/>
        <v>'LWSA3.SA': 'LWSA S/A',</v>
      </c>
    </row>
    <row r="28" spans="1:11" x14ac:dyDescent="0.25">
      <c r="A28" t="s">
        <v>50</v>
      </c>
      <c r="B28" t="s">
        <v>55</v>
      </c>
      <c r="C28" t="s">
        <v>225</v>
      </c>
      <c r="D28" t="s">
        <v>56</v>
      </c>
      <c r="E28" t="s">
        <v>139</v>
      </c>
      <c r="F28" s="3">
        <v>20362</v>
      </c>
      <c r="G28" s="3" t="str">
        <f t="shared" si="0"/>
        <v>020362</v>
      </c>
      <c r="H28" s="4" t="str">
        <f t="shared" si="1"/>
        <v>'020362',</v>
      </c>
      <c r="I28" t="s">
        <v>108</v>
      </c>
      <c r="J28" t="s">
        <v>173</v>
      </c>
      <c r="K28" t="str">
        <f t="shared" si="2"/>
        <v>'POSI3.SA': 'POSITIVO TECNOLOGIA S.A.',</v>
      </c>
    </row>
    <row r="29" spans="1:11" x14ac:dyDescent="0.25">
      <c r="A29" t="s">
        <v>57</v>
      </c>
      <c r="B29" t="s">
        <v>58</v>
      </c>
      <c r="C29" t="s">
        <v>226</v>
      </c>
      <c r="D29" t="s">
        <v>59</v>
      </c>
      <c r="E29" t="s">
        <v>140</v>
      </c>
      <c r="F29" s="3">
        <v>22470</v>
      </c>
      <c r="G29" s="3" t="str">
        <f t="shared" si="0"/>
        <v>022470</v>
      </c>
      <c r="H29" s="4" t="str">
        <f t="shared" si="1"/>
        <v>'022470',</v>
      </c>
      <c r="I29" t="s">
        <v>109</v>
      </c>
      <c r="J29" t="s">
        <v>174</v>
      </c>
      <c r="K29" t="str">
        <f t="shared" si="2"/>
        <v>'MGLU3.SA': 'MAGAZINE LUIZA S.A.',</v>
      </c>
    </row>
    <row r="30" spans="1:11" x14ac:dyDescent="0.25">
      <c r="A30" t="s">
        <v>57</v>
      </c>
      <c r="B30" t="s">
        <v>60</v>
      </c>
      <c r="C30" t="s">
        <v>227</v>
      </c>
      <c r="D30" t="s">
        <v>61</v>
      </c>
      <c r="E30" t="s">
        <v>141</v>
      </c>
      <c r="F30" s="3">
        <v>8133</v>
      </c>
      <c r="G30" s="3" t="str">
        <f t="shared" si="0"/>
        <v>008133</v>
      </c>
      <c r="H30" s="4" t="str">
        <f t="shared" si="1"/>
        <v>'008133',</v>
      </c>
      <c r="I30" t="s">
        <v>110</v>
      </c>
      <c r="J30" t="s">
        <v>175</v>
      </c>
      <c r="K30" t="str">
        <f t="shared" si="2"/>
        <v>'LREN3.SA': 'LOJAS RENNER S.A.',</v>
      </c>
    </row>
    <row r="31" spans="1:11" x14ac:dyDescent="0.25">
      <c r="A31" t="s">
        <v>57</v>
      </c>
      <c r="B31" t="s">
        <v>62</v>
      </c>
      <c r="C31" t="s">
        <v>228</v>
      </c>
      <c r="D31" t="s">
        <v>112</v>
      </c>
      <c r="E31" t="s">
        <v>142</v>
      </c>
      <c r="F31" s="3">
        <v>6505</v>
      </c>
      <c r="G31" s="3" t="str">
        <f t="shared" si="0"/>
        <v>006505</v>
      </c>
      <c r="H31" s="4" t="str">
        <f t="shared" si="1"/>
        <v>'006505',</v>
      </c>
      <c r="I31" s="6" t="s">
        <v>111</v>
      </c>
      <c r="J31" t="s">
        <v>176</v>
      </c>
      <c r="K31" t="str">
        <f t="shared" si="2"/>
        <v>'BHIA3.SA': 'GRUPO CASAS BAHIA S.A.',</v>
      </c>
    </row>
    <row r="32" spans="1:11" x14ac:dyDescent="0.25">
      <c r="A32" t="s">
        <v>63</v>
      </c>
      <c r="B32" t="s">
        <v>64</v>
      </c>
      <c r="C32" t="s">
        <v>229</v>
      </c>
      <c r="D32" t="s">
        <v>65</v>
      </c>
      <c r="E32" t="s">
        <v>143</v>
      </c>
      <c r="F32" s="3">
        <v>4170</v>
      </c>
      <c r="G32" s="3" t="str">
        <f t="shared" si="0"/>
        <v>004170</v>
      </c>
      <c r="H32" s="4" t="str">
        <f t="shared" si="1"/>
        <v>'004170',</v>
      </c>
      <c r="I32" t="s">
        <v>113</v>
      </c>
      <c r="J32" t="s">
        <v>177</v>
      </c>
      <c r="K32" t="str">
        <f t="shared" si="2"/>
        <v>'VALE3.SA': 'VALE S.A.',</v>
      </c>
    </row>
    <row r="33" spans="1:11" x14ac:dyDescent="0.25">
      <c r="A33" t="s">
        <v>63</v>
      </c>
      <c r="B33" t="s">
        <v>66</v>
      </c>
      <c r="C33" t="s">
        <v>230</v>
      </c>
      <c r="D33" t="s">
        <v>67</v>
      </c>
      <c r="E33" t="s">
        <v>144</v>
      </c>
      <c r="F33" s="3">
        <v>3980</v>
      </c>
      <c r="G33" s="3" t="str">
        <f t="shared" si="0"/>
        <v>003980</v>
      </c>
      <c r="H33" s="4" t="str">
        <f t="shared" si="1"/>
        <v>'003980',</v>
      </c>
      <c r="I33" t="s">
        <v>114</v>
      </c>
      <c r="J33" t="s">
        <v>178</v>
      </c>
      <c r="K33" t="str">
        <f t="shared" si="2"/>
        <v>'GGBR4.SA': 'GERDAU S.A.',</v>
      </c>
    </row>
    <row r="34" spans="1:11" x14ac:dyDescent="0.25">
      <c r="A34" t="s">
        <v>63</v>
      </c>
      <c r="B34" t="s">
        <v>68</v>
      </c>
      <c r="C34" t="s">
        <v>231</v>
      </c>
      <c r="D34" t="s">
        <v>69</v>
      </c>
      <c r="E34" t="s">
        <v>145</v>
      </c>
      <c r="F34" s="3">
        <v>25585</v>
      </c>
      <c r="G34" s="3" t="str">
        <f t="shared" si="0"/>
        <v>025585</v>
      </c>
      <c r="H34" s="4" t="str">
        <f t="shared" si="1"/>
        <v>'025585',</v>
      </c>
      <c r="I34" t="s">
        <v>115</v>
      </c>
      <c r="J34" t="s">
        <v>179</v>
      </c>
      <c r="K34" t="str">
        <f t="shared" si="2"/>
        <v>'CSNA3.SA': 'CSN MINERAÇÃO S.A.',</v>
      </c>
    </row>
    <row r="35" spans="1:11" x14ac:dyDescent="0.25">
      <c r="A35" t="s">
        <v>70</v>
      </c>
      <c r="B35" t="s">
        <v>71</v>
      </c>
      <c r="C35" t="s">
        <v>232</v>
      </c>
      <c r="D35" t="s">
        <v>72</v>
      </c>
      <c r="E35" t="s">
        <v>146</v>
      </c>
      <c r="F35" s="3">
        <v>20575</v>
      </c>
      <c r="G35" s="3" t="str">
        <f t="shared" si="0"/>
        <v>020575</v>
      </c>
      <c r="H35" s="4" t="str">
        <f t="shared" si="1"/>
        <v>'020575',</v>
      </c>
      <c r="I35" t="s">
        <v>116</v>
      </c>
      <c r="J35" t="s">
        <v>180</v>
      </c>
      <c r="K35" t="str">
        <f t="shared" si="2"/>
        <v>'JBSS3.SA': 'JBS S.A.',</v>
      </c>
    </row>
    <row r="36" spans="1:11" x14ac:dyDescent="0.25">
      <c r="A36" t="s">
        <v>70</v>
      </c>
      <c r="B36" t="s">
        <v>73</v>
      </c>
      <c r="C36" t="s">
        <v>233</v>
      </c>
      <c r="D36" t="s">
        <v>74</v>
      </c>
      <c r="E36" t="s">
        <v>147</v>
      </c>
      <c r="F36" s="3">
        <v>20788</v>
      </c>
      <c r="G36" s="3" t="str">
        <f t="shared" si="0"/>
        <v>020788</v>
      </c>
      <c r="H36" s="4" t="str">
        <f t="shared" si="1"/>
        <v>'020788',</v>
      </c>
      <c r="I36" t="s">
        <v>117</v>
      </c>
      <c r="J36" t="s">
        <v>181</v>
      </c>
      <c r="K36" t="str">
        <f t="shared" si="2"/>
        <v>'MRFG3.SA': 'MARFRIG GLOBAL FOODS S.A.',</v>
      </c>
    </row>
    <row r="37" spans="1:11" x14ac:dyDescent="0.25">
      <c r="A37" t="s">
        <v>70</v>
      </c>
      <c r="B37" t="s">
        <v>75</v>
      </c>
      <c r="C37" t="s">
        <v>234</v>
      </c>
      <c r="D37" t="s">
        <v>76</v>
      </c>
      <c r="E37" t="s">
        <v>148</v>
      </c>
      <c r="F37" s="3">
        <v>16292</v>
      </c>
      <c r="G37" s="3" t="str">
        <f t="shared" si="0"/>
        <v>016292</v>
      </c>
      <c r="H37" s="4" t="str">
        <f t="shared" si="1"/>
        <v>'016292',</v>
      </c>
      <c r="I37" t="s">
        <v>118</v>
      </c>
      <c r="J37" t="s">
        <v>182</v>
      </c>
      <c r="K37" t="str">
        <f t="shared" si="2"/>
        <v>'BRFS3.SA': 'BRF S.A.',</v>
      </c>
    </row>
  </sheetData>
  <autoFilter ref="A1:D1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D1 D20:D30 A35:B37 D35:D37 D32:D34 A1:B34 D3 D7:D10 D13:D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Petruz</dc:creator>
  <cp:lastModifiedBy>alessandra lopes de moraes petruz</cp:lastModifiedBy>
  <dcterms:created xsi:type="dcterms:W3CDTF">2026-01-26T18:28:31Z</dcterms:created>
  <dcterms:modified xsi:type="dcterms:W3CDTF">2026-03-25T13:53:50Z</dcterms:modified>
</cp:coreProperties>
</file>